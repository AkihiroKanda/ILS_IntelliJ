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andaakihiro/Documents/java/ils_intelliJ/log/提案手法机上面均斉度12_2019年09月03日23時02分04秒/"/>
    </mc:Choice>
  </mc:AlternateContent>
  <xr:revisionPtr revIDLastSave="0" documentId="13_ncr:1_{21E997AF-9A1D-0E45-8CFD-6D7F6C6D92D6}" xr6:coauthVersionLast="44" xr6:coauthVersionMax="44" xr10:uidLastSave="{00000000-0000-0000-0000-000000000000}"/>
  <bookViews>
    <workbookView xWindow="1300" yWindow="800" windowWidth="28300" windowHeight="17040" xr2:uid="{00000000-000D-0000-FFFF-FFFF00000000}"/>
  </bookViews>
  <sheets>
    <sheet name="ave_lx" sheetId="1" r:id="rId1"/>
  </sheets>
  <definedNames>
    <definedName name="_xlchart.v1.0" hidden="1">ave_lx!$O$56:$O$57</definedName>
    <definedName name="_xlchart.v1.1" hidden="1">ave_lx!$P$55</definedName>
    <definedName name="_xlchart.v1.2" hidden="1">ave_lx!$P$56:$P$57</definedName>
    <definedName name="_xlchart.v1.3" hidden="1">ave_lx!$O$56:$O$57</definedName>
    <definedName name="_xlchart.v1.4" hidden="1">ave_lx!$P$55</definedName>
    <definedName name="_xlchart.v1.5" hidden="1">ave_lx!$P$56:$P$57</definedName>
    <definedName name="_xlchart.v1.6" hidden="1">ave_lx!$O$56:$O$57</definedName>
    <definedName name="_xlchart.v1.7" hidden="1">ave_lx!$P$55</definedName>
    <definedName name="_xlchart.v1.8" hidden="1">ave_lx!$P$56:$P$57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57" i="1" l="1"/>
  <c r="U56" i="1"/>
  <c r="T57" i="1"/>
  <c r="T56" i="1"/>
  <c r="L54" i="1" l="1"/>
  <c r="M54" i="1" s="1"/>
  <c r="N3" i="1" l="1"/>
  <c r="O3" i="1"/>
  <c r="N4" i="1"/>
  <c r="O4" i="1"/>
  <c r="N5" i="1"/>
  <c r="O5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O2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2" i="1"/>
  <c r="M52" i="1" l="1"/>
  <c r="N52" i="1"/>
  <c r="O52" i="1"/>
</calcChain>
</file>

<file path=xl/sharedStrings.xml><?xml version="1.0" encoding="utf-8"?>
<sst xmlns="http://schemas.openxmlformats.org/spreadsheetml/2006/main" count="19" uniqueCount="9">
  <si>
    <t>平均値</t>
    <rPh sb="0" eb="3">
      <t xml:space="preserve">ヘイキンチ </t>
    </rPh>
    <phoneticPr fontId="18"/>
  </si>
  <si>
    <t>最小値</t>
    <rPh sb="0" eb="3">
      <t xml:space="preserve">サイショウチ </t>
    </rPh>
    <phoneticPr fontId="18"/>
  </si>
  <si>
    <t>最大値</t>
    <rPh sb="0" eb="3">
      <t xml:space="preserve">サイダイチ </t>
    </rPh>
    <phoneticPr fontId="18"/>
  </si>
  <si>
    <t>標準偏差</t>
    <rPh sb="0" eb="4">
      <t xml:space="preserve">ヒョウジュンヘンサン </t>
    </rPh>
    <phoneticPr fontId="18"/>
  </si>
  <si>
    <t>標準誤差</t>
    <rPh sb="0" eb="4">
      <t xml:space="preserve">ヒョウジュンゴサ </t>
    </rPh>
    <phoneticPr fontId="18"/>
  </si>
  <si>
    <t>提案手法</t>
    <rPh sb="0" eb="4">
      <t xml:space="preserve">テイアンシュホウ </t>
    </rPh>
    <phoneticPr fontId="18"/>
  </si>
  <si>
    <t>標準手法</t>
    <rPh sb="0" eb="4">
      <t xml:space="preserve">ヒョウジュンシュホウ </t>
    </rPh>
    <phoneticPr fontId="18"/>
  </si>
  <si>
    <t>標準偏差</t>
    <rPh sb="0" eb="4">
      <t xml:space="preserve">ヒョウジュンヘンサ </t>
    </rPh>
    <phoneticPr fontId="18"/>
  </si>
  <si>
    <t>机上面均斉度</t>
    <rPh sb="0" eb="6">
      <t>キジョウ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</si>
</sst>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62984481308768"/>
          <c:y val="2.4736253836914447E-2"/>
          <c:w val="0.8683701551869123"/>
          <c:h val="0.898188367169771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ave_lx!$P$55</c:f>
              <c:strCache>
                <c:ptCount val="1"/>
                <c:pt idx="0">
                  <c:v>平均値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D6-E74E-A112-05DD495F219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4D6-E74E-A112-05DD495F219B}"/>
              </c:ext>
            </c:extLst>
          </c:dPt>
          <c:errBars>
            <c:errBarType val="both"/>
            <c:errValType val="cust"/>
            <c:noEndCap val="0"/>
            <c:plus>
              <c:numRef>
                <c:f>ave_lx!$T$56:$T$57</c:f>
                <c:numCache>
                  <c:formatCode>General</c:formatCode>
                  <c:ptCount val="2"/>
                  <c:pt idx="0">
                    <c:v>0.14529287659780565</c:v>
                  </c:pt>
                  <c:pt idx="1">
                    <c:v>0.14032321795588276</c:v>
                  </c:pt>
                </c:numCache>
              </c:numRef>
            </c:plus>
            <c:minus>
              <c:numRef>
                <c:f>ave_lx!$U$56:$U$57</c:f>
                <c:numCache>
                  <c:formatCode>General</c:formatCode>
                  <c:ptCount val="2"/>
                  <c:pt idx="0">
                    <c:v>0.20850369088990439</c:v>
                  </c:pt>
                  <c:pt idx="1">
                    <c:v>0.20257647322367123</c:v>
                  </c:pt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  <a:tailEnd w="lg" len="lg"/>
              </a:ln>
              <a:effectLst/>
            </c:spPr>
          </c:errBars>
          <c:cat>
            <c:strRef>
              <c:f>ave_lx!$O$56:$O$57</c:f>
              <c:strCache>
                <c:ptCount val="2"/>
                <c:pt idx="0">
                  <c:v>標準手法</c:v>
                </c:pt>
                <c:pt idx="1">
                  <c:v>提案手法</c:v>
                </c:pt>
              </c:strCache>
            </c:strRef>
          </c:cat>
          <c:val>
            <c:numRef>
              <c:f>ave_lx!$P$56:$P$57</c:f>
              <c:numCache>
                <c:formatCode>General</c:formatCode>
                <c:ptCount val="2"/>
                <c:pt idx="0">
                  <c:v>0.83344089984316538</c:v>
                </c:pt>
                <c:pt idx="1">
                  <c:v>0.83060541688180922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6E-9F43-98AE-83C08D66E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97964143"/>
        <c:axId val="1497922623"/>
      </c:barChart>
      <c:catAx>
        <c:axId val="149796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22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MS Gothic" panose="020B0609070205080204" pitchFamily="49" charset="-128"/>
                <a:ea typeface="MS Gothic" panose="020B0609070205080204" pitchFamily="49" charset="-128"/>
                <a:cs typeface="+mn-cs"/>
              </a:defRPr>
            </a:pPr>
            <a:endParaRPr lang="ja-JP"/>
          </a:p>
        </c:txPr>
        <c:crossAx val="1497922623"/>
        <c:crosses val="autoZero"/>
        <c:auto val="1"/>
        <c:lblAlgn val="ctr"/>
        <c:lblOffset val="100"/>
        <c:noMultiLvlLbl val="0"/>
      </c:catAx>
      <c:valAx>
        <c:axId val="1497922623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800">
                    <a:solidFill>
                      <a:schemeClr val="tx1"/>
                    </a:solidFill>
                    <a:latin typeface="MS Gothic" panose="020B0609070205080204" pitchFamily="49" charset="-128"/>
                    <a:ea typeface="MS Gothic" panose="020B0609070205080204" pitchFamily="49" charset="-128"/>
                  </a:rPr>
                  <a:t>机上面均斉度</a:t>
                </a:r>
              </a:p>
            </c:rich>
          </c:tx>
          <c:layout>
            <c:manualLayout>
              <c:xMode val="edge"/>
              <c:yMode val="edge"/>
              <c:x val="1.6643550624133148E-2"/>
              <c:y val="0.37398772445513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2222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MS Gothic" panose="020B0609070205080204" pitchFamily="49" charset="-128"/>
                <a:cs typeface="Arial" panose="020B0604020202020204" pitchFamily="34" charset="0"/>
              </a:defRPr>
            </a:pPr>
            <a:endParaRPr lang="ja-JP"/>
          </a:p>
        </c:txPr>
        <c:crossAx val="1497964143"/>
        <c:crosses val="autoZero"/>
        <c:crossBetween val="between"/>
        <c:majorUnit val="0.1"/>
      </c:valAx>
      <c:spPr>
        <a:noFill/>
        <a:ln cap="flat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39</xdr:row>
      <xdr:rowOff>190500</xdr:rowOff>
    </xdr:from>
    <xdr:to>
      <xdr:col>12</xdr:col>
      <xdr:colOff>647700</xdr:colOff>
      <xdr:row>63</xdr:row>
      <xdr:rowOff>88900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444824A-6921-6746-B40E-37C7A76A9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64"/>
  <sheetViews>
    <sheetView tabSelected="1" topLeftCell="A40" workbookViewId="0">
      <selection activeCell="D63" sqref="D63"/>
    </sheetView>
  </sheetViews>
  <sheetFormatPr baseColWidth="10" defaultRowHeight="20"/>
  <sheetData>
    <row r="1" spans="1:15">
      <c r="A1" t="s">
        <v>5</v>
      </c>
      <c r="M1" t="s">
        <v>0</v>
      </c>
      <c r="N1" t="s">
        <v>1</v>
      </c>
      <c r="O1" t="s">
        <v>2</v>
      </c>
    </row>
    <row r="2" spans="1:15">
      <c r="A2">
        <v>0.73647187121339097</v>
      </c>
      <c r="B2">
        <v>0.88203510932786899</v>
      </c>
      <c r="C2">
        <v>0.864262054072099</v>
      </c>
      <c r="D2">
        <v>0.79932409090706003</v>
      </c>
      <c r="E2">
        <v>0.91145776173538495</v>
      </c>
      <c r="F2">
        <v>0.81595941892496704</v>
      </c>
      <c r="G2">
        <v>0.87252501684855199</v>
      </c>
      <c r="H2">
        <v>0.91290326461125804</v>
      </c>
      <c r="I2">
        <v>0.85478554163708398</v>
      </c>
      <c r="J2">
        <v>0.90102264388443898</v>
      </c>
      <c r="K2">
        <v>0.81609776843015303</v>
      </c>
      <c r="L2">
        <v>0.81934240761021104</v>
      </c>
      <c r="M2">
        <f>AVERAGE(A2:L2)</f>
        <v>0.8488489124335391</v>
      </c>
      <c r="N2">
        <f>MIN(A2:L2)</f>
        <v>0.73647187121339097</v>
      </c>
      <c r="O2">
        <f>MAX(A2:L2)</f>
        <v>0.91290326461125804</v>
      </c>
    </row>
    <row r="3" spans="1:15">
      <c r="A3">
        <v>0.79211046551479902</v>
      </c>
      <c r="B3">
        <v>0.90579098051668905</v>
      </c>
      <c r="C3">
        <v>0.73024663744464402</v>
      </c>
      <c r="D3">
        <v>0.897211006279796</v>
      </c>
      <c r="E3">
        <v>0.86062224842843005</v>
      </c>
      <c r="F3">
        <v>0.83513873623029999</v>
      </c>
      <c r="G3">
        <v>0.79104238838341201</v>
      </c>
      <c r="H3">
        <v>0.853813635118159</v>
      </c>
      <c r="I3">
        <v>0.78564304502948101</v>
      </c>
      <c r="J3">
        <v>0.74823848440711405</v>
      </c>
      <c r="K3">
        <v>0.91025692854432205</v>
      </c>
      <c r="L3">
        <v>0.87086731515072302</v>
      </c>
      <c r="M3">
        <f t="shared" ref="M3:M51" si="0">AVERAGE(A3:L3)</f>
        <v>0.83174848925398903</v>
      </c>
      <c r="N3">
        <f t="shared" ref="N3:N51" si="1">MIN(A3:L3)</f>
        <v>0.73024663744464402</v>
      </c>
      <c r="O3">
        <f t="shared" ref="O3:O51" si="2">MAX(A3:L3)</f>
        <v>0.91025692854432205</v>
      </c>
    </row>
    <row r="4" spans="1:15">
      <c r="A4">
        <v>0.77273202472765901</v>
      </c>
      <c r="B4">
        <v>0.67552483574578104</v>
      </c>
      <c r="C4">
        <v>0.77453002598532905</v>
      </c>
      <c r="D4">
        <v>0.82797077679953301</v>
      </c>
      <c r="E4">
        <v>0.82623702630226703</v>
      </c>
      <c r="F4">
        <v>0.81508261244421598</v>
      </c>
      <c r="G4">
        <v>0.80303704695778499</v>
      </c>
      <c r="H4">
        <v>0.891367471869703</v>
      </c>
      <c r="I4">
        <v>0.75791421359701205</v>
      </c>
      <c r="J4">
        <v>0.77972444571960597</v>
      </c>
      <c r="K4">
        <v>0.91863105127474498</v>
      </c>
      <c r="L4">
        <v>0.86348048122592802</v>
      </c>
      <c r="M4">
        <f t="shared" si="0"/>
        <v>0.80885266772079689</v>
      </c>
      <c r="N4">
        <f t="shared" si="1"/>
        <v>0.67552483574578104</v>
      </c>
      <c r="O4">
        <f t="shared" si="2"/>
        <v>0.91863105127474498</v>
      </c>
    </row>
    <row r="5" spans="1:15">
      <c r="A5">
        <v>0.80311638101635296</v>
      </c>
      <c r="B5">
        <v>0.80386728627085402</v>
      </c>
      <c r="C5">
        <v>0.76254172287693101</v>
      </c>
      <c r="D5">
        <v>0.66524661456302403</v>
      </c>
      <c r="E5">
        <v>0.79127861581110503</v>
      </c>
      <c r="F5">
        <v>0.70442152922989298</v>
      </c>
      <c r="G5">
        <v>0.74571615884149201</v>
      </c>
      <c r="H5">
        <v>0.93047571789963301</v>
      </c>
      <c r="I5">
        <v>0.75045888774689395</v>
      </c>
      <c r="J5">
        <v>0.76568345620398204</v>
      </c>
      <c r="K5">
        <v>0.79503163806039501</v>
      </c>
      <c r="L5">
        <v>0.75442059113973503</v>
      </c>
      <c r="M5">
        <f t="shared" si="0"/>
        <v>0.77268821663835752</v>
      </c>
      <c r="N5">
        <f t="shared" si="1"/>
        <v>0.66524661456302403</v>
      </c>
      <c r="O5">
        <f t="shared" si="2"/>
        <v>0.93047571789963301</v>
      </c>
    </row>
    <row r="6" spans="1:15">
      <c r="A6">
        <v>0.66620296818284996</v>
      </c>
      <c r="B6">
        <v>0.80522025869334102</v>
      </c>
      <c r="C6">
        <v>0.76643768661856704</v>
      </c>
      <c r="D6">
        <v>0.77471710899236401</v>
      </c>
      <c r="E6">
        <v>0.90720349892157703</v>
      </c>
      <c r="F6">
        <v>0.84587481492780903</v>
      </c>
      <c r="G6">
        <v>0.65456379744895499</v>
      </c>
      <c r="H6">
        <v>0.82750579681646097</v>
      </c>
      <c r="I6">
        <v>0.74253667567347903</v>
      </c>
      <c r="J6">
        <v>0.69220282309691294</v>
      </c>
      <c r="K6">
        <v>0.86342154669389803</v>
      </c>
      <c r="L6">
        <v>0.77582431805539398</v>
      </c>
      <c r="M6">
        <f t="shared" si="0"/>
        <v>0.77680927451013415</v>
      </c>
      <c r="N6">
        <f t="shared" si="1"/>
        <v>0.65456379744895499</v>
      </c>
      <c r="O6">
        <f t="shared" si="2"/>
        <v>0.90720349892157703</v>
      </c>
    </row>
    <row r="7" spans="1:15">
      <c r="A7">
        <v>0.78516941234451798</v>
      </c>
      <c r="B7">
        <v>0.96253175590150797</v>
      </c>
      <c r="C7">
        <v>0.81641910599184198</v>
      </c>
      <c r="D7">
        <v>0.91752433198039896</v>
      </c>
      <c r="E7">
        <v>0.95849136369311405</v>
      </c>
      <c r="F7">
        <v>0.94003976082829199</v>
      </c>
      <c r="G7">
        <v>0.86327514420407803</v>
      </c>
      <c r="H7">
        <v>0.85172250915674397</v>
      </c>
      <c r="I7">
        <v>0.88387111023751896</v>
      </c>
      <c r="J7">
        <v>0.76914457102368605</v>
      </c>
      <c r="K7">
        <v>0.87765374736912105</v>
      </c>
      <c r="L7">
        <v>0.94945166019111304</v>
      </c>
      <c r="M7">
        <f t="shared" si="0"/>
        <v>0.88127453941016121</v>
      </c>
      <c r="N7">
        <f t="shared" si="1"/>
        <v>0.76914457102368605</v>
      </c>
      <c r="O7">
        <f t="shared" si="2"/>
        <v>0.96253175590150797</v>
      </c>
    </row>
    <row r="8" spans="1:15">
      <c r="A8">
        <v>0.75563399971554002</v>
      </c>
      <c r="B8">
        <v>0.952487096345638</v>
      </c>
      <c r="C8">
        <v>0.85022414892726605</v>
      </c>
      <c r="D8">
        <v>0.88165576892929998</v>
      </c>
      <c r="E8">
        <v>0.91316533114509402</v>
      </c>
      <c r="F8">
        <v>0.87161111683291403</v>
      </c>
      <c r="G8">
        <v>0.86279703182928202</v>
      </c>
      <c r="H8">
        <v>0.93374134295428701</v>
      </c>
      <c r="I8">
        <v>0.97092863483769198</v>
      </c>
      <c r="J8">
        <v>0.85359400920024597</v>
      </c>
      <c r="K8">
        <v>0.80797672300049395</v>
      </c>
      <c r="L8">
        <v>0.94772140312020303</v>
      </c>
      <c r="M8">
        <f t="shared" si="0"/>
        <v>0.88346138390316276</v>
      </c>
      <c r="N8">
        <f t="shared" si="1"/>
        <v>0.75563399971554002</v>
      </c>
      <c r="O8">
        <f t="shared" si="2"/>
        <v>0.97092863483769198</v>
      </c>
    </row>
    <row r="9" spans="1:15">
      <c r="A9">
        <v>0.68561870136594605</v>
      </c>
      <c r="B9">
        <v>0.91286045501701496</v>
      </c>
      <c r="C9">
        <v>0.77286590533200605</v>
      </c>
      <c r="D9">
        <v>0.78962633697526197</v>
      </c>
      <c r="E9">
        <v>0.96169340284291005</v>
      </c>
      <c r="F9">
        <v>0.93511481989874801</v>
      </c>
      <c r="G9">
        <v>0.87899652483540702</v>
      </c>
      <c r="H9">
        <v>0.88935849509320297</v>
      </c>
      <c r="I9">
        <v>0.78967923099042203</v>
      </c>
      <c r="J9">
        <v>0.77581229894441295</v>
      </c>
      <c r="K9">
        <v>0.86759816198652595</v>
      </c>
      <c r="L9">
        <v>0.84833400864130604</v>
      </c>
      <c r="M9">
        <f t="shared" si="0"/>
        <v>0.84229652849359704</v>
      </c>
      <c r="N9">
        <f t="shared" si="1"/>
        <v>0.68561870136594605</v>
      </c>
      <c r="O9">
        <f t="shared" si="2"/>
        <v>0.96169340284291005</v>
      </c>
    </row>
    <row r="10" spans="1:15">
      <c r="A10">
        <v>0.69168594798032601</v>
      </c>
      <c r="B10">
        <v>0.73162413898418899</v>
      </c>
      <c r="C10">
        <v>0.73946214874449501</v>
      </c>
      <c r="D10">
        <v>0.85173993494427103</v>
      </c>
      <c r="E10">
        <v>0.82745257534501104</v>
      </c>
      <c r="F10">
        <v>0.87608370063432806</v>
      </c>
      <c r="G10">
        <v>0.797378910642213</v>
      </c>
      <c r="H10">
        <v>0.95176064502078705</v>
      </c>
      <c r="I10">
        <v>0.86957360566136899</v>
      </c>
      <c r="J10">
        <v>0.84148476959564</v>
      </c>
      <c r="K10">
        <v>0.95465171736790899</v>
      </c>
      <c r="L10">
        <v>0.83332783410583999</v>
      </c>
      <c r="M10">
        <f t="shared" si="0"/>
        <v>0.83051882741886474</v>
      </c>
      <c r="N10">
        <f t="shared" si="1"/>
        <v>0.69168594798032601</v>
      </c>
      <c r="O10">
        <f t="shared" si="2"/>
        <v>0.95465171736790899</v>
      </c>
    </row>
    <row r="11" spans="1:15">
      <c r="A11">
        <v>0.67153903402613702</v>
      </c>
      <c r="B11">
        <v>0.82058292904590002</v>
      </c>
      <c r="C11">
        <v>0.77295373394426803</v>
      </c>
      <c r="D11">
        <v>0.80139233263473497</v>
      </c>
      <c r="E11">
        <v>0.96064859665742497</v>
      </c>
      <c r="F11">
        <v>0.84084221309613005</v>
      </c>
      <c r="G11">
        <v>0.83293504235700599</v>
      </c>
      <c r="H11">
        <v>0.93667982079158996</v>
      </c>
      <c r="I11">
        <v>0.95877547924131101</v>
      </c>
      <c r="J11">
        <v>0.86463709587953497</v>
      </c>
      <c r="K11">
        <v>0.91066313528479104</v>
      </c>
      <c r="L11">
        <v>0.93670857147907205</v>
      </c>
      <c r="M11">
        <f t="shared" si="0"/>
        <v>0.85902983203649164</v>
      </c>
      <c r="N11">
        <f t="shared" si="1"/>
        <v>0.67153903402613702</v>
      </c>
      <c r="O11">
        <f t="shared" si="2"/>
        <v>0.96064859665742497</v>
      </c>
    </row>
    <row r="12" spans="1:15">
      <c r="A12">
        <v>0.67431003498317499</v>
      </c>
      <c r="B12">
        <v>0.85469317698130898</v>
      </c>
      <c r="C12">
        <v>0.70080973462587104</v>
      </c>
      <c r="D12">
        <v>0.79706621514397502</v>
      </c>
      <c r="E12">
        <v>0.87052825701520598</v>
      </c>
      <c r="F12">
        <v>0.79938294214306505</v>
      </c>
      <c r="G12">
        <v>0.74065010691148403</v>
      </c>
      <c r="H12">
        <v>0.79792523905601098</v>
      </c>
      <c r="I12">
        <v>0.66969033514268705</v>
      </c>
      <c r="J12">
        <v>0.77500017344322503</v>
      </c>
      <c r="K12">
        <v>0.862177835524085</v>
      </c>
      <c r="L12">
        <v>0.76386774043906303</v>
      </c>
      <c r="M12">
        <f t="shared" si="0"/>
        <v>0.77550848261742955</v>
      </c>
      <c r="N12">
        <f t="shared" si="1"/>
        <v>0.66969033514268705</v>
      </c>
      <c r="O12">
        <f t="shared" si="2"/>
        <v>0.87052825701520598</v>
      </c>
    </row>
    <row r="13" spans="1:15">
      <c r="A13">
        <v>0.70518612996476204</v>
      </c>
      <c r="B13">
        <v>0.89359645430090995</v>
      </c>
      <c r="C13">
        <v>0.84514277610706801</v>
      </c>
      <c r="D13">
        <v>0.78322455143812597</v>
      </c>
      <c r="E13">
        <v>0.94241354890561002</v>
      </c>
      <c r="F13">
        <v>0.822695117037476</v>
      </c>
      <c r="G13">
        <v>0.84420026100906398</v>
      </c>
      <c r="H13">
        <v>0.84410864466685898</v>
      </c>
      <c r="I13">
        <v>0.809022550956771</v>
      </c>
      <c r="J13">
        <v>0.872969131414435</v>
      </c>
      <c r="K13">
        <v>0.77051605472220197</v>
      </c>
      <c r="L13">
        <v>0.90034396506254599</v>
      </c>
      <c r="M13">
        <f t="shared" si="0"/>
        <v>0.83611826546548584</v>
      </c>
      <c r="N13">
        <f t="shared" si="1"/>
        <v>0.70518612996476204</v>
      </c>
      <c r="O13">
        <f t="shared" si="2"/>
        <v>0.94241354890561002</v>
      </c>
    </row>
    <row r="14" spans="1:15">
      <c r="A14">
        <v>0.77552059864843803</v>
      </c>
      <c r="B14">
        <v>0.72706220549543599</v>
      </c>
      <c r="C14">
        <v>0.78118134811116002</v>
      </c>
      <c r="D14">
        <v>0.68114913654404996</v>
      </c>
      <c r="E14">
        <v>0.77886216234216599</v>
      </c>
      <c r="F14">
        <v>0.81946928784138495</v>
      </c>
      <c r="G14">
        <v>0.73318884752231706</v>
      </c>
      <c r="H14">
        <v>0.86572908270218696</v>
      </c>
      <c r="I14">
        <v>0.80404832618567801</v>
      </c>
      <c r="J14">
        <v>0.80654693863877602</v>
      </c>
      <c r="K14">
        <v>0.83832964664518095</v>
      </c>
      <c r="L14">
        <v>0.80041479220165701</v>
      </c>
      <c r="M14">
        <f t="shared" si="0"/>
        <v>0.78429186440653609</v>
      </c>
      <c r="N14">
        <f t="shared" si="1"/>
        <v>0.68114913654404996</v>
      </c>
      <c r="O14">
        <f t="shared" si="2"/>
        <v>0.86572908270218696</v>
      </c>
    </row>
    <row r="15" spans="1:15">
      <c r="A15">
        <v>0.68935437998870497</v>
      </c>
      <c r="B15">
        <v>0.78474556129084105</v>
      </c>
      <c r="C15">
        <v>0.83529558312590502</v>
      </c>
      <c r="D15">
        <v>0.76232806098971795</v>
      </c>
      <c r="E15">
        <v>0.87425448973014397</v>
      </c>
      <c r="F15">
        <v>0.90888059400091203</v>
      </c>
      <c r="G15">
        <v>0.66657900301404005</v>
      </c>
      <c r="H15">
        <v>0.80922774544039699</v>
      </c>
      <c r="I15">
        <v>0.76152237475970397</v>
      </c>
      <c r="J15">
        <v>0.701270067042714</v>
      </c>
      <c r="K15">
        <v>0.88924945807776201</v>
      </c>
      <c r="L15">
        <v>0.86740561620361301</v>
      </c>
      <c r="M15">
        <f t="shared" si="0"/>
        <v>0.79584274447203784</v>
      </c>
      <c r="N15">
        <f t="shared" si="1"/>
        <v>0.66657900301404005</v>
      </c>
      <c r="O15">
        <f t="shared" si="2"/>
        <v>0.90888059400091203</v>
      </c>
    </row>
    <row r="16" spans="1:15">
      <c r="A16">
        <v>0.87101200921755395</v>
      </c>
      <c r="B16">
        <v>0.92485907003586498</v>
      </c>
      <c r="C16">
        <v>0.80362630606353302</v>
      </c>
      <c r="D16">
        <v>0.85212422540579802</v>
      </c>
      <c r="E16">
        <v>0.89888246529278604</v>
      </c>
      <c r="F16">
        <v>0.95308145101045605</v>
      </c>
      <c r="G16">
        <v>0.76149192822773104</v>
      </c>
      <c r="H16">
        <v>0.92946875675389695</v>
      </c>
      <c r="I16">
        <v>0.92935372902179303</v>
      </c>
      <c r="J16">
        <v>0.82430701373319004</v>
      </c>
      <c r="K16">
        <v>0.96117355060548704</v>
      </c>
      <c r="L16">
        <v>0.923049842480549</v>
      </c>
      <c r="M16">
        <f t="shared" si="0"/>
        <v>0.88603586232071985</v>
      </c>
      <c r="N16">
        <f t="shared" si="1"/>
        <v>0.76149192822773104</v>
      </c>
      <c r="O16">
        <f t="shared" si="2"/>
        <v>0.96117355060548704</v>
      </c>
    </row>
    <row r="17" spans="1:15">
      <c r="A17">
        <v>0.89753220237517894</v>
      </c>
      <c r="B17">
        <v>0.94680312639237396</v>
      </c>
      <c r="C17">
        <v>0.74006234575135299</v>
      </c>
      <c r="D17">
        <v>0.80574433435277504</v>
      </c>
      <c r="E17">
        <v>0.92841976893477296</v>
      </c>
      <c r="F17">
        <v>0.81193855178763397</v>
      </c>
      <c r="G17">
        <v>0.83557310423317199</v>
      </c>
      <c r="H17">
        <v>0.91976005494639701</v>
      </c>
      <c r="I17">
        <v>0.88423218525380998</v>
      </c>
      <c r="J17">
        <v>0.90270046875905297</v>
      </c>
      <c r="K17">
        <v>0.86215855463362101</v>
      </c>
      <c r="L17">
        <v>0.86206451264320705</v>
      </c>
      <c r="M17">
        <f t="shared" si="0"/>
        <v>0.86641576750527893</v>
      </c>
      <c r="N17">
        <f t="shared" si="1"/>
        <v>0.74006234575135299</v>
      </c>
      <c r="O17">
        <f t="shared" si="2"/>
        <v>0.94680312639237396</v>
      </c>
    </row>
    <row r="18" spans="1:15">
      <c r="A18">
        <v>0.83951390600864795</v>
      </c>
      <c r="B18">
        <v>0.87884455659031901</v>
      </c>
      <c r="C18">
        <v>0.83039119046207799</v>
      </c>
      <c r="D18">
        <v>0.72727848261401595</v>
      </c>
      <c r="E18">
        <v>0.82215164694392895</v>
      </c>
      <c r="F18">
        <v>0.74226733405168699</v>
      </c>
      <c r="G18">
        <v>0.86416522751209501</v>
      </c>
      <c r="H18">
        <v>0.92426881817125806</v>
      </c>
      <c r="I18">
        <v>0.82018482059272002</v>
      </c>
      <c r="J18">
        <v>0.77434521301430803</v>
      </c>
      <c r="K18">
        <v>0.83620254848986297</v>
      </c>
      <c r="L18">
        <v>0.79836757244722001</v>
      </c>
      <c r="M18">
        <f t="shared" si="0"/>
        <v>0.82149844307484521</v>
      </c>
      <c r="N18">
        <f t="shared" si="1"/>
        <v>0.72727848261401595</v>
      </c>
      <c r="O18">
        <f t="shared" si="2"/>
        <v>0.92426881817125806</v>
      </c>
    </row>
    <row r="19" spans="1:15">
      <c r="A19">
        <v>0.87629482692693195</v>
      </c>
      <c r="B19">
        <v>0.94019897386250695</v>
      </c>
      <c r="C19">
        <v>0.80402978349918897</v>
      </c>
      <c r="D19">
        <v>0.83242212541383598</v>
      </c>
      <c r="E19">
        <v>0.95055691048283097</v>
      </c>
      <c r="F19">
        <v>0.94398087485514903</v>
      </c>
      <c r="G19">
        <v>0.68932887536426901</v>
      </c>
      <c r="H19">
        <v>0.88314556200098804</v>
      </c>
      <c r="I19">
        <v>0.78693060872783305</v>
      </c>
      <c r="J19">
        <v>0.71733751434545601</v>
      </c>
      <c r="K19">
        <v>0.79591688394123705</v>
      </c>
      <c r="L19">
        <v>0.87867782020830298</v>
      </c>
      <c r="M19">
        <f t="shared" si="0"/>
        <v>0.8415683966357107</v>
      </c>
      <c r="N19">
        <f t="shared" si="1"/>
        <v>0.68932887536426901</v>
      </c>
      <c r="O19">
        <f t="shared" si="2"/>
        <v>0.95055691048283097</v>
      </c>
    </row>
    <row r="20" spans="1:15">
      <c r="A20">
        <v>0.84162061432200896</v>
      </c>
      <c r="B20">
        <v>0.911544286683039</v>
      </c>
      <c r="C20">
        <v>0.85040444839221296</v>
      </c>
      <c r="D20">
        <v>0.80994799370099602</v>
      </c>
      <c r="E20">
        <v>0.90285761383003904</v>
      </c>
      <c r="F20">
        <v>0.85722387885965101</v>
      </c>
      <c r="G20">
        <v>0.68694017229354198</v>
      </c>
      <c r="H20">
        <v>0.895675650413987</v>
      </c>
      <c r="I20">
        <v>0.76991926193108196</v>
      </c>
      <c r="J20">
        <v>0.72642180735044004</v>
      </c>
      <c r="K20">
        <v>0.77025889137215398</v>
      </c>
      <c r="L20">
        <v>0.77946365598593503</v>
      </c>
      <c r="M20">
        <f t="shared" si="0"/>
        <v>0.81685652292792399</v>
      </c>
      <c r="N20">
        <f t="shared" si="1"/>
        <v>0.68694017229354198</v>
      </c>
      <c r="O20">
        <f t="shared" si="2"/>
        <v>0.911544286683039</v>
      </c>
    </row>
    <row r="21" spans="1:15">
      <c r="A21">
        <v>0.82511604856051401</v>
      </c>
      <c r="B21">
        <v>0.87586235768224197</v>
      </c>
      <c r="C21">
        <v>0.76423683838337697</v>
      </c>
      <c r="D21">
        <v>0.73718931369728002</v>
      </c>
      <c r="E21">
        <v>0.88154073493651097</v>
      </c>
      <c r="F21">
        <v>0.72814110581083802</v>
      </c>
      <c r="G21">
        <v>0.87333620054208005</v>
      </c>
      <c r="H21">
        <v>0.93902366058603903</v>
      </c>
      <c r="I21">
        <v>0.91301207171337595</v>
      </c>
      <c r="J21">
        <v>0.84206103429580204</v>
      </c>
      <c r="K21">
        <v>0.89778562606851997</v>
      </c>
      <c r="L21">
        <v>0.94987901456994395</v>
      </c>
      <c r="M21">
        <f t="shared" si="0"/>
        <v>0.85226533390387704</v>
      </c>
      <c r="N21">
        <f t="shared" si="1"/>
        <v>0.72814110581083802</v>
      </c>
      <c r="O21">
        <f t="shared" si="2"/>
        <v>0.94987901456994395</v>
      </c>
    </row>
    <row r="22" spans="1:15">
      <c r="A22">
        <v>0.84585173292865401</v>
      </c>
      <c r="B22">
        <v>0.870061073913871</v>
      </c>
      <c r="C22">
        <v>0.76905105056116596</v>
      </c>
      <c r="D22">
        <v>0.75808269699002495</v>
      </c>
      <c r="E22">
        <v>0.86389536433540903</v>
      </c>
      <c r="F22">
        <v>0.73340280198227104</v>
      </c>
      <c r="G22">
        <v>0.71377347927517398</v>
      </c>
      <c r="H22">
        <v>0.82579575413733397</v>
      </c>
      <c r="I22">
        <v>0.76886674430131896</v>
      </c>
      <c r="J22">
        <v>0.69814302458378497</v>
      </c>
      <c r="K22">
        <v>0.85310372846661697</v>
      </c>
      <c r="L22">
        <v>0.79060559586295298</v>
      </c>
      <c r="M22">
        <f t="shared" si="0"/>
        <v>0.79088608727821486</v>
      </c>
      <c r="N22">
        <f t="shared" si="1"/>
        <v>0.69814302458378497</v>
      </c>
      <c r="O22">
        <f t="shared" si="2"/>
        <v>0.870061073913871</v>
      </c>
    </row>
    <row r="23" spans="1:15">
      <c r="A23">
        <v>0.89836471707713506</v>
      </c>
      <c r="B23">
        <v>0.92516915938608202</v>
      </c>
      <c r="C23">
        <v>0.85454272304208601</v>
      </c>
      <c r="D23">
        <v>0.80590823446964699</v>
      </c>
      <c r="E23">
        <v>0.92865980466770803</v>
      </c>
      <c r="F23">
        <v>0.865996823177001</v>
      </c>
      <c r="G23">
        <v>0.70899194337307203</v>
      </c>
      <c r="H23">
        <v>0.92245365167305704</v>
      </c>
      <c r="I23">
        <v>0.81705766623924803</v>
      </c>
      <c r="J23">
        <v>0.73715105152348404</v>
      </c>
      <c r="K23">
        <v>0.78605084101265799</v>
      </c>
      <c r="L23">
        <v>0.91731720251316096</v>
      </c>
      <c r="M23">
        <f t="shared" si="0"/>
        <v>0.84730531817952837</v>
      </c>
      <c r="N23">
        <f t="shared" si="1"/>
        <v>0.70899194337307203</v>
      </c>
      <c r="O23">
        <f t="shared" si="2"/>
        <v>0.92865980466770803</v>
      </c>
    </row>
    <row r="24" spans="1:15">
      <c r="A24">
        <v>0.81898454677647903</v>
      </c>
      <c r="B24">
        <v>0.70011109950867001</v>
      </c>
      <c r="C24">
        <v>0.76861819362155503</v>
      </c>
      <c r="D24">
        <v>0.81027089476797998</v>
      </c>
      <c r="E24">
        <v>0.77065812655771404</v>
      </c>
      <c r="F24">
        <v>0.66019178415980195</v>
      </c>
      <c r="G24">
        <v>0.865283042110916</v>
      </c>
      <c r="H24">
        <v>0.91395975233603499</v>
      </c>
      <c r="I24">
        <v>0.87575950684334303</v>
      </c>
      <c r="J24">
        <v>0.75054442277741296</v>
      </c>
      <c r="K24">
        <v>0.84198387564993105</v>
      </c>
      <c r="L24">
        <v>0.89987759585724003</v>
      </c>
      <c r="M24">
        <f t="shared" si="0"/>
        <v>0.80635357008058983</v>
      </c>
      <c r="N24">
        <f t="shared" si="1"/>
        <v>0.66019178415980195</v>
      </c>
      <c r="O24">
        <f t="shared" si="2"/>
        <v>0.91395975233603499</v>
      </c>
    </row>
    <row r="25" spans="1:15">
      <c r="A25">
        <v>0.68228712614298503</v>
      </c>
      <c r="B25">
        <v>0.85817523082650904</v>
      </c>
      <c r="C25">
        <v>0.83568393296431198</v>
      </c>
      <c r="D25">
        <v>0.794479898693636</v>
      </c>
      <c r="E25">
        <v>0.96419976321629297</v>
      </c>
      <c r="F25">
        <v>0.85178292892130902</v>
      </c>
      <c r="G25">
        <v>0.90619575543723896</v>
      </c>
      <c r="H25">
        <v>0.92503780976291505</v>
      </c>
      <c r="I25">
        <v>0.80865459327031497</v>
      </c>
      <c r="J25">
        <v>0.818137388822477</v>
      </c>
      <c r="K25">
        <v>0.82063299156334502</v>
      </c>
      <c r="L25">
        <v>0.80970485011695603</v>
      </c>
      <c r="M25">
        <f t="shared" si="0"/>
        <v>0.83958102247819089</v>
      </c>
      <c r="N25">
        <f t="shared" si="1"/>
        <v>0.68228712614298503</v>
      </c>
      <c r="O25">
        <f t="shared" si="2"/>
        <v>0.96419976321629297</v>
      </c>
    </row>
    <row r="26" spans="1:15">
      <c r="A26">
        <v>0.77936708787344899</v>
      </c>
      <c r="B26">
        <v>0.90115928390039302</v>
      </c>
      <c r="C26">
        <v>0.82733905232170701</v>
      </c>
      <c r="D26">
        <v>0.80253067554647195</v>
      </c>
      <c r="E26">
        <v>0.84030720084658095</v>
      </c>
      <c r="F26">
        <v>0.87884835462181199</v>
      </c>
      <c r="G26">
        <v>0.93536985214694501</v>
      </c>
      <c r="H26">
        <v>0.911699247620956</v>
      </c>
      <c r="I26">
        <v>0.83580297129250003</v>
      </c>
      <c r="J26">
        <v>0.78413725780460197</v>
      </c>
      <c r="K26">
        <v>0.85576282974951601</v>
      </c>
      <c r="L26">
        <v>0.89773722557383495</v>
      </c>
      <c r="M26">
        <f t="shared" si="0"/>
        <v>0.85417175327489725</v>
      </c>
      <c r="N26">
        <f t="shared" si="1"/>
        <v>0.77936708787344899</v>
      </c>
      <c r="O26">
        <f t="shared" si="2"/>
        <v>0.93536985214694501</v>
      </c>
    </row>
    <row r="27" spans="1:15">
      <c r="A27">
        <v>0.69791597821087004</v>
      </c>
      <c r="B27">
        <v>0.79619982755574503</v>
      </c>
      <c r="C27">
        <v>0.79034342257541101</v>
      </c>
      <c r="D27">
        <v>0.85503517696638998</v>
      </c>
      <c r="E27">
        <v>0.96335594823008297</v>
      </c>
      <c r="F27">
        <v>0.86899703449423804</v>
      </c>
      <c r="G27">
        <v>0.84405230049177205</v>
      </c>
      <c r="H27">
        <v>0.94971761059315196</v>
      </c>
      <c r="I27">
        <v>0.89608310974587302</v>
      </c>
      <c r="J27">
        <v>0.86727146670461897</v>
      </c>
      <c r="K27">
        <v>0.91507715924696398</v>
      </c>
      <c r="L27">
        <v>0.85573112893949099</v>
      </c>
      <c r="M27">
        <f t="shared" si="0"/>
        <v>0.85831501364621732</v>
      </c>
      <c r="N27">
        <f t="shared" si="1"/>
        <v>0.69791597821087004</v>
      </c>
      <c r="O27">
        <f t="shared" si="2"/>
        <v>0.96335594823008297</v>
      </c>
    </row>
    <row r="28" spans="1:15">
      <c r="A28">
        <v>0.62802894365813799</v>
      </c>
      <c r="B28">
        <v>0.85908904234460404</v>
      </c>
      <c r="C28">
        <v>0.87008394675065603</v>
      </c>
      <c r="D28">
        <v>0.81739124727818302</v>
      </c>
      <c r="E28">
        <v>0.79538607278527496</v>
      </c>
      <c r="F28">
        <v>0.86080523253993502</v>
      </c>
      <c r="G28">
        <v>0.65708836958095396</v>
      </c>
      <c r="H28">
        <v>0.86030001902331699</v>
      </c>
      <c r="I28">
        <v>0.75558249169360103</v>
      </c>
      <c r="J28">
        <v>0.70453371471561799</v>
      </c>
      <c r="K28">
        <v>0.77456847648196703</v>
      </c>
      <c r="L28">
        <v>0.85550499531426205</v>
      </c>
      <c r="M28">
        <f t="shared" si="0"/>
        <v>0.78653021268054246</v>
      </c>
      <c r="N28">
        <f t="shared" si="1"/>
        <v>0.62802894365813799</v>
      </c>
      <c r="O28">
        <f t="shared" si="2"/>
        <v>0.87008394675065603</v>
      </c>
    </row>
    <row r="29" spans="1:15">
      <c r="A29">
        <v>0.67353357820991</v>
      </c>
      <c r="B29">
        <v>0.86860693467817496</v>
      </c>
      <c r="C29">
        <v>0.73892758666598901</v>
      </c>
      <c r="D29">
        <v>0.71436252130310296</v>
      </c>
      <c r="E29">
        <v>0.92310967830307</v>
      </c>
      <c r="F29">
        <v>0.71753903871187796</v>
      </c>
      <c r="G29">
        <v>0.69970777389575001</v>
      </c>
      <c r="H29">
        <v>0.88684768818917503</v>
      </c>
      <c r="I29">
        <v>0.72454969089134202</v>
      </c>
      <c r="J29">
        <v>0.74340411803325601</v>
      </c>
      <c r="K29">
        <v>0.81179415586209203</v>
      </c>
      <c r="L29">
        <v>0.73362637698913802</v>
      </c>
      <c r="M29">
        <f t="shared" si="0"/>
        <v>0.76966742847773972</v>
      </c>
      <c r="N29">
        <f t="shared" si="1"/>
        <v>0.67353357820991</v>
      </c>
      <c r="O29">
        <f t="shared" si="2"/>
        <v>0.92310967830307</v>
      </c>
    </row>
    <row r="30" spans="1:15">
      <c r="A30">
        <v>0.80079181852550196</v>
      </c>
      <c r="B30">
        <v>0.90687308287898405</v>
      </c>
      <c r="C30">
        <v>0.71456805582503602</v>
      </c>
      <c r="D30">
        <v>0.88110412970295005</v>
      </c>
      <c r="E30">
        <v>0.84847413748901601</v>
      </c>
      <c r="F30">
        <v>0.81415434765453198</v>
      </c>
      <c r="G30">
        <v>0.69254810458337301</v>
      </c>
      <c r="H30">
        <v>0.86226227935878996</v>
      </c>
      <c r="I30">
        <v>0.729105870012002</v>
      </c>
      <c r="J30">
        <v>0.70353335274747897</v>
      </c>
      <c r="K30">
        <v>0.79847551397280303</v>
      </c>
      <c r="L30">
        <v>0.75416082820905495</v>
      </c>
      <c r="M30">
        <f t="shared" si="0"/>
        <v>0.79217096007996013</v>
      </c>
      <c r="N30">
        <f t="shared" si="1"/>
        <v>0.69254810458337301</v>
      </c>
      <c r="O30">
        <f t="shared" si="2"/>
        <v>0.90687308287898405</v>
      </c>
    </row>
    <row r="31" spans="1:15">
      <c r="A31">
        <v>0.74933664888765805</v>
      </c>
      <c r="B31">
        <v>0.82653956706487997</v>
      </c>
      <c r="C31">
        <v>0.86380609071857495</v>
      </c>
      <c r="D31">
        <v>0.794809956729713</v>
      </c>
      <c r="E31">
        <v>0.835976707261462</v>
      </c>
      <c r="F31">
        <v>0.77595746933369802</v>
      </c>
      <c r="G31">
        <v>0.82079944246952496</v>
      </c>
      <c r="H31">
        <v>0.90563793217605504</v>
      </c>
      <c r="I31">
        <v>0.88464587180639298</v>
      </c>
      <c r="J31">
        <v>0.83549514765676303</v>
      </c>
      <c r="K31">
        <v>0.92472973915749701</v>
      </c>
      <c r="L31">
        <v>0.94969681970959097</v>
      </c>
      <c r="M31">
        <f t="shared" si="0"/>
        <v>0.84728594941431756</v>
      </c>
      <c r="N31">
        <f t="shared" si="1"/>
        <v>0.74933664888765805</v>
      </c>
      <c r="O31">
        <f t="shared" si="2"/>
        <v>0.94969681970959097</v>
      </c>
    </row>
    <row r="32" spans="1:15">
      <c r="A32">
        <v>0.72775862992102303</v>
      </c>
      <c r="B32">
        <v>0.90894246867498196</v>
      </c>
      <c r="C32">
        <v>0.75246665708792704</v>
      </c>
      <c r="D32">
        <v>0.75853807861135503</v>
      </c>
      <c r="E32">
        <v>0.94142655894802996</v>
      </c>
      <c r="F32">
        <v>0.71898719405812594</v>
      </c>
      <c r="G32">
        <v>0.88914577874632605</v>
      </c>
      <c r="H32">
        <v>0.90021863224203302</v>
      </c>
      <c r="I32">
        <v>0.80512433924865201</v>
      </c>
      <c r="J32">
        <v>0.81156942181776204</v>
      </c>
      <c r="K32">
        <v>0.83950625515868604</v>
      </c>
      <c r="L32">
        <v>0.803020969297075</v>
      </c>
      <c r="M32">
        <f t="shared" si="0"/>
        <v>0.82139208198433122</v>
      </c>
      <c r="N32">
        <f t="shared" si="1"/>
        <v>0.71898719405812594</v>
      </c>
      <c r="O32">
        <f t="shared" si="2"/>
        <v>0.94142655894802996</v>
      </c>
    </row>
    <row r="33" spans="1:15">
      <c r="A33">
        <v>0.73845805831451705</v>
      </c>
      <c r="B33">
        <v>0.79057315469526901</v>
      </c>
      <c r="C33">
        <v>0.70975439643820903</v>
      </c>
      <c r="D33">
        <v>0.82948922769915501</v>
      </c>
      <c r="E33">
        <v>0.81390811980146305</v>
      </c>
      <c r="F33">
        <v>0.79612448050846796</v>
      </c>
      <c r="G33">
        <v>0.87141659205260302</v>
      </c>
      <c r="H33">
        <v>0.81278288270150401</v>
      </c>
      <c r="I33">
        <v>0.78275432783181098</v>
      </c>
      <c r="J33">
        <v>0.87379034291286295</v>
      </c>
      <c r="K33">
        <v>0.79414933817519695</v>
      </c>
      <c r="L33">
        <v>0.82190555068208504</v>
      </c>
      <c r="M33">
        <f t="shared" si="0"/>
        <v>0.80292553931776212</v>
      </c>
      <c r="N33">
        <f t="shared" si="1"/>
        <v>0.70975439643820903</v>
      </c>
      <c r="O33">
        <f t="shared" si="2"/>
        <v>0.87379034291286295</v>
      </c>
    </row>
    <row r="34" spans="1:15">
      <c r="A34">
        <v>0.81000013928540504</v>
      </c>
      <c r="B34">
        <v>0.88742921743723102</v>
      </c>
      <c r="C34">
        <v>0.70973583062678602</v>
      </c>
      <c r="D34">
        <v>0.86562740011646699</v>
      </c>
      <c r="E34">
        <v>0.90998143209461502</v>
      </c>
      <c r="F34">
        <v>0.80570909393065804</v>
      </c>
      <c r="G34">
        <v>0.75592938865160397</v>
      </c>
      <c r="H34">
        <v>0.80980029699779899</v>
      </c>
      <c r="I34">
        <v>0.85841638010924104</v>
      </c>
      <c r="J34">
        <v>0.86448426412086099</v>
      </c>
      <c r="K34">
        <v>0.75901534932472403</v>
      </c>
      <c r="L34">
        <v>0.91694629756101598</v>
      </c>
      <c r="M34">
        <f t="shared" si="0"/>
        <v>0.82942292418803387</v>
      </c>
      <c r="N34">
        <f t="shared" si="1"/>
        <v>0.70973583062678602</v>
      </c>
      <c r="O34">
        <f t="shared" si="2"/>
        <v>0.91694629756101598</v>
      </c>
    </row>
    <row r="35" spans="1:15">
      <c r="A35">
        <v>0.79087820409252196</v>
      </c>
      <c r="B35">
        <v>0.96887203415705603</v>
      </c>
      <c r="C35">
        <v>0.75859836232528199</v>
      </c>
      <c r="D35">
        <v>0.785320354495466</v>
      </c>
      <c r="E35">
        <v>0.91367503220359703</v>
      </c>
      <c r="F35">
        <v>0.73706119546114301</v>
      </c>
      <c r="G35">
        <v>0.97075266067453903</v>
      </c>
      <c r="H35">
        <v>0.931902055315873</v>
      </c>
      <c r="I35">
        <v>0.86105519631154404</v>
      </c>
      <c r="J35">
        <v>0.87498612753025196</v>
      </c>
      <c r="K35">
        <v>0.89891480138951896</v>
      </c>
      <c r="L35">
        <v>0.814557927170244</v>
      </c>
      <c r="M35">
        <f t="shared" si="0"/>
        <v>0.85888116259391978</v>
      </c>
      <c r="N35">
        <f t="shared" si="1"/>
        <v>0.73706119546114301</v>
      </c>
      <c r="O35">
        <f t="shared" si="2"/>
        <v>0.97075266067453903</v>
      </c>
    </row>
    <row r="36" spans="1:15">
      <c r="A36">
        <v>0.82433684795547002</v>
      </c>
      <c r="B36">
        <v>0.77381133588693796</v>
      </c>
      <c r="C36">
        <v>0.81856936570811301</v>
      </c>
      <c r="D36">
        <v>0.77937953486540701</v>
      </c>
      <c r="E36">
        <v>0.82800771755984004</v>
      </c>
      <c r="F36">
        <v>0.90076616856755798</v>
      </c>
      <c r="G36">
        <v>0.88590762255452604</v>
      </c>
      <c r="H36">
        <v>0.96245351085803699</v>
      </c>
      <c r="I36">
        <v>0.87351766558545596</v>
      </c>
      <c r="J36">
        <v>0.93991979423340299</v>
      </c>
      <c r="K36">
        <v>0.91069186219105103</v>
      </c>
      <c r="L36">
        <v>0.85180823564386599</v>
      </c>
      <c r="M36">
        <f t="shared" si="0"/>
        <v>0.86243080513413861</v>
      </c>
      <c r="N36">
        <f t="shared" si="1"/>
        <v>0.77381133588693796</v>
      </c>
      <c r="O36">
        <f t="shared" si="2"/>
        <v>0.96245351085803699</v>
      </c>
    </row>
    <row r="37" spans="1:15">
      <c r="A37">
        <v>0.88839654365544396</v>
      </c>
      <c r="B37">
        <v>0.94313140361650205</v>
      </c>
      <c r="C37">
        <v>0.80071828729278405</v>
      </c>
      <c r="D37">
        <v>0.84038820021190697</v>
      </c>
      <c r="E37">
        <v>0.94743877382197705</v>
      </c>
      <c r="F37">
        <v>0.95612868785621996</v>
      </c>
      <c r="G37">
        <v>0.79613058767687905</v>
      </c>
      <c r="H37">
        <v>0.95435420134012094</v>
      </c>
      <c r="I37">
        <v>0.90089850282996697</v>
      </c>
      <c r="J37">
        <v>0.86164973736288197</v>
      </c>
      <c r="K37">
        <v>0.94566417715964501</v>
      </c>
      <c r="L37">
        <v>0.89354964275088</v>
      </c>
      <c r="M37">
        <f t="shared" si="0"/>
        <v>0.89403739546460059</v>
      </c>
      <c r="N37">
        <f t="shared" si="1"/>
        <v>0.79613058767687905</v>
      </c>
      <c r="O37">
        <f t="shared" si="2"/>
        <v>0.95612868785621996</v>
      </c>
    </row>
    <row r="38" spans="1:15">
      <c r="A38">
        <v>0.66264112558411103</v>
      </c>
      <c r="B38">
        <v>0.81377375300694998</v>
      </c>
      <c r="C38">
        <v>0.71990666672901504</v>
      </c>
      <c r="D38">
        <v>0.83495363273936996</v>
      </c>
      <c r="E38">
        <v>0.89144453156148495</v>
      </c>
      <c r="F38">
        <v>0.83443797618503501</v>
      </c>
      <c r="G38">
        <v>0.79663677863696103</v>
      </c>
      <c r="H38">
        <v>0.90571803187549005</v>
      </c>
      <c r="I38">
        <v>0.85407499821350397</v>
      </c>
      <c r="J38">
        <v>0.84998815471620603</v>
      </c>
      <c r="K38">
        <v>0.90760290386445297</v>
      </c>
      <c r="L38">
        <v>0.96232027779889795</v>
      </c>
      <c r="M38">
        <f t="shared" si="0"/>
        <v>0.83612490257595651</v>
      </c>
      <c r="N38">
        <f t="shared" si="1"/>
        <v>0.66264112558411103</v>
      </c>
      <c r="O38">
        <f t="shared" si="2"/>
        <v>0.96232027779889795</v>
      </c>
    </row>
    <row r="39" spans="1:15">
      <c r="A39">
        <v>0.84746437813290099</v>
      </c>
      <c r="B39">
        <v>0.86653415509542797</v>
      </c>
      <c r="C39">
        <v>0.89013426783426897</v>
      </c>
      <c r="D39">
        <v>0.843165401794991</v>
      </c>
      <c r="E39">
        <v>0.93460885367391999</v>
      </c>
      <c r="F39">
        <v>0.89224295289484101</v>
      </c>
      <c r="G39">
        <v>0.75911447371838303</v>
      </c>
      <c r="H39">
        <v>0.87999102220377601</v>
      </c>
      <c r="I39">
        <v>0.93545570117875898</v>
      </c>
      <c r="J39">
        <v>0.82445591227484305</v>
      </c>
      <c r="K39">
        <v>0.92414802652596495</v>
      </c>
      <c r="L39">
        <v>0.95995977205231597</v>
      </c>
      <c r="M39">
        <f t="shared" si="0"/>
        <v>0.87977290978169931</v>
      </c>
      <c r="N39">
        <f t="shared" si="1"/>
        <v>0.75911447371838303</v>
      </c>
      <c r="O39">
        <f t="shared" si="2"/>
        <v>0.95995977205231597</v>
      </c>
    </row>
    <row r="40" spans="1:15">
      <c r="A40">
        <v>0.709249363989919</v>
      </c>
      <c r="B40">
        <v>0.945938515754839</v>
      </c>
      <c r="C40">
        <v>0.80299660540766804</v>
      </c>
      <c r="D40">
        <v>0.79590012840745905</v>
      </c>
      <c r="E40">
        <v>0.89516538082188002</v>
      </c>
      <c r="F40">
        <v>0.92449105819077304</v>
      </c>
      <c r="G40">
        <v>0.74530035178055698</v>
      </c>
      <c r="H40">
        <v>0.82600967937013503</v>
      </c>
      <c r="I40">
        <v>0.76435771296722699</v>
      </c>
      <c r="J40">
        <v>0.76116392073500705</v>
      </c>
      <c r="K40">
        <v>0.83316730471461697</v>
      </c>
      <c r="L40">
        <v>0.76221796559904997</v>
      </c>
      <c r="M40">
        <f t="shared" si="0"/>
        <v>0.81382983231159411</v>
      </c>
      <c r="N40">
        <f t="shared" si="1"/>
        <v>0.709249363989919</v>
      </c>
      <c r="O40">
        <f t="shared" si="2"/>
        <v>0.945938515754839</v>
      </c>
    </row>
    <row r="41" spans="1:15">
      <c r="A41">
        <v>0.70512578965481998</v>
      </c>
      <c r="B41">
        <v>0.87675070811051403</v>
      </c>
      <c r="C41">
        <v>0.70859260542313296</v>
      </c>
      <c r="D41">
        <v>0.81172735323616396</v>
      </c>
      <c r="E41">
        <v>0.90746681974455401</v>
      </c>
      <c r="F41">
        <v>0.77337832240958604</v>
      </c>
      <c r="G41">
        <v>0.732538676204051</v>
      </c>
      <c r="H41">
        <v>0.78792581211656998</v>
      </c>
      <c r="I41">
        <v>0.866805404095777</v>
      </c>
      <c r="J41">
        <v>0.84987397188634695</v>
      </c>
      <c r="K41">
        <v>0.772869180698601</v>
      </c>
      <c r="L41">
        <v>0.88367262305479299</v>
      </c>
      <c r="M41">
        <f t="shared" si="0"/>
        <v>0.80639393888624245</v>
      </c>
      <c r="N41">
        <f t="shared" si="1"/>
        <v>0.70512578965481998</v>
      </c>
      <c r="O41">
        <f t="shared" si="2"/>
        <v>0.90746681974455401</v>
      </c>
    </row>
    <row r="42" spans="1:15">
      <c r="A42">
        <v>0.76075983457470298</v>
      </c>
      <c r="B42">
        <v>0.82192867131630998</v>
      </c>
      <c r="C42">
        <v>0.76633837811873395</v>
      </c>
      <c r="D42">
        <v>0.85205567037307495</v>
      </c>
      <c r="E42">
        <v>0.91715985337381201</v>
      </c>
      <c r="F42">
        <v>0.79697533396355802</v>
      </c>
      <c r="G42">
        <v>0.73842488163509001</v>
      </c>
      <c r="H42">
        <v>0.87604890339516095</v>
      </c>
      <c r="I42">
        <v>0.81964190743377696</v>
      </c>
      <c r="J42">
        <v>0.71979878997327096</v>
      </c>
      <c r="K42">
        <v>0.88805426995084702</v>
      </c>
      <c r="L42">
        <v>0.80629692875730696</v>
      </c>
      <c r="M42">
        <f t="shared" si="0"/>
        <v>0.81362361857213716</v>
      </c>
      <c r="N42">
        <f t="shared" si="1"/>
        <v>0.71979878997327096</v>
      </c>
      <c r="O42">
        <f t="shared" si="2"/>
        <v>0.91715985337381201</v>
      </c>
    </row>
    <row r="43" spans="1:15">
      <c r="A43">
        <v>0.73626360609867703</v>
      </c>
      <c r="B43">
        <v>0.96597265603869997</v>
      </c>
      <c r="C43">
        <v>0.80288661934953998</v>
      </c>
      <c r="D43">
        <v>0.73830273804712798</v>
      </c>
      <c r="E43">
        <v>0.93128241972977799</v>
      </c>
      <c r="F43">
        <v>0.85459758568322297</v>
      </c>
      <c r="G43">
        <v>0.88890350184401801</v>
      </c>
      <c r="H43">
        <v>0.92294327383809205</v>
      </c>
      <c r="I43">
        <v>0.94524107925925405</v>
      </c>
      <c r="J43">
        <v>0.80855276594305803</v>
      </c>
      <c r="K43">
        <v>0.77848153464582404</v>
      </c>
      <c r="L43">
        <v>0.89193509157373096</v>
      </c>
      <c r="M43">
        <f t="shared" si="0"/>
        <v>0.85544690600425211</v>
      </c>
      <c r="N43">
        <f t="shared" si="1"/>
        <v>0.73626360609867703</v>
      </c>
      <c r="O43">
        <f t="shared" si="2"/>
        <v>0.96597265603869997</v>
      </c>
    </row>
    <row r="44" spans="1:15">
      <c r="A44">
        <v>0.83883557598484704</v>
      </c>
      <c r="B44">
        <v>0.79378578018372403</v>
      </c>
      <c r="C44">
        <v>0.75011954250388801</v>
      </c>
      <c r="D44">
        <v>0.74072338268246196</v>
      </c>
      <c r="E44">
        <v>0.82906271417694299</v>
      </c>
      <c r="F44">
        <v>0.75196002673508799</v>
      </c>
      <c r="G44">
        <v>0.87408590285628596</v>
      </c>
      <c r="H44">
        <v>0.93997984159983194</v>
      </c>
      <c r="I44">
        <v>0.78024737670309396</v>
      </c>
      <c r="J44">
        <v>0.77195253381182805</v>
      </c>
      <c r="K44">
        <v>0.84535341761916905</v>
      </c>
      <c r="L44">
        <v>0.80799162785346001</v>
      </c>
      <c r="M44">
        <f t="shared" si="0"/>
        <v>0.81034147689255154</v>
      </c>
      <c r="N44">
        <f t="shared" si="1"/>
        <v>0.74072338268246196</v>
      </c>
      <c r="O44">
        <f t="shared" si="2"/>
        <v>0.93997984159983194</v>
      </c>
    </row>
    <row r="45" spans="1:15">
      <c r="A45">
        <v>0.65015597358475696</v>
      </c>
      <c r="B45">
        <v>0.71822296636803695</v>
      </c>
      <c r="C45">
        <v>0.76282907429389302</v>
      </c>
      <c r="D45">
        <v>0.78235358379090802</v>
      </c>
      <c r="E45">
        <v>0.89907490981360505</v>
      </c>
      <c r="F45">
        <v>0.77236387226991599</v>
      </c>
      <c r="G45">
        <v>0.80650314393636802</v>
      </c>
      <c r="H45">
        <v>0.87232054916097601</v>
      </c>
      <c r="I45">
        <v>0.75732995946458004</v>
      </c>
      <c r="J45">
        <v>0.80778702193324403</v>
      </c>
      <c r="K45">
        <v>0.78827883526379205</v>
      </c>
      <c r="L45">
        <v>0.75760772395745501</v>
      </c>
      <c r="M45">
        <f t="shared" si="0"/>
        <v>0.78123563448646094</v>
      </c>
      <c r="N45">
        <f t="shared" si="1"/>
        <v>0.65015597358475696</v>
      </c>
      <c r="O45">
        <f t="shared" si="2"/>
        <v>0.89907490981360505</v>
      </c>
    </row>
    <row r="46" spans="1:15">
      <c r="A46">
        <v>0.887981087641593</v>
      </c>
      <c r="B46">
        <v>0.94108985541299295</v>
      </c>
      <c r="C46">
        <v>0.74554263184730696</v>
      </c>
      <c r="D46">
        <v>0.81167037268495001</v>
      </c>
      <c r="E46">
        <v>0.93511230439134896</v>
      </c>
      <c r="F46">
        <v>0.81263552226027802</v>
      </c>
      <c r="G46">
        <v>0.90271636511290898</v>
      </c>
      <c r="H46">
        <v>0.87884590057011502</v>
      </c>
      <c r="I46">
        <v>0.78108413225568696</v>
      </c>
      <c r="J46">
        <v>0.76851438679330497</v>
      </c>
      <c r="K46">
        <v>0.86157750649398201</v>
      </c>
      <c r="L46">
        <v>0.854539967997753</v>
      </c>
      <c r="M46">
        <f t="shared" si="0"/>
        <v>0.8484425027885184</v>
      </c>
      <c r="N46">
        <f t="shared" si="1"/>
        <v>0.74554263184730696</v>
      </c>
      <c r="O46">
        <f t="shared" si="2"/>
        <v>0.94108985541299295</v>
      </c>
    </row>
    <row r="47" spans="1:15">
      <c r="A47">
        <v>0.82880962358669896</v>
      </c>
      <c r="B47">
        <v>0.87493143717993804</v>
      </c>
      <c r="C47">
        <v>0.81582328250871805</v>
      </c>
      <c r="D47">
        <v>0.71709893881081499</v>
      </c>
      <c r="E47">
        <v>0.84432793743853896</v>
      </c>
      <c r="F47">
        <v>0.77230438204557095</v>
      </c>
      <c r="G47">
        <v>0.81709229996418997</v>
      </c>
      <c r="H47">
        <v>0.94004139378653895</v>
      </c>
      <c r="I47">
        <v>0.72773877027325096</v>
      </c>
      <c r="J47">
        <v>0.75319874059485403</v>
      </c>
      <c r="K47">
        <v>0.80906053850562398</v>
      </c>
      <c r="L47">
        <v>0.74678854288110097</v>
      </c>
      <c r="M47">
        <f t="shared" si="0"/>
        <v>0.80393465729798663</v>
      </c>
      <c r="N47">
        <f t="shared" si="1"/>
        <v>0.71709893881081499</v>
      </c>
      <c r="O47">
        <f t="shared" si="2"/>
        <v>0.94004139378653895</v>
      </c>
    </row>
    <row r="48" spans="1:15">
      <c r="A48">
        <v>0.69192856269804104</v>
      </c>
      <c r="B48">
        <v>0.909697196495038</v>
      </c>
      <c r="C48">
        <v>0.867807772630529</v>
      </c>
      <c r="D48">
        <v>0.75975515472975197</v>
      </c>
      <c r="E48">
        <v>0.90544891179160503</v>
      </c>
      <c r="F48">
        <v>0.87887486291460204</v>
      </c>
      <c r="G48">
        <v>0.77919283764003699</v>
      </c>
      <c r="H48">
        <v>0.88711089554977096</v>
      </c>
      <c r="I48">
        <v>0.87746273248801199</v>
      </c>
      <c r="J48">
        <v>0.81911727803322798</v>
      </c>
      <c r="K48">
        <v>0.92942527459730495</v>
      </c>
      <c r="L48">
        <v>0.96996986490916703</v>
      </c>
      <c r="M48">
        <f t="shared" si="0"/>
        <v>0.85631594537309053</v>
      </c>
      <c r="N48">
        <f t="shared" si="1"/>
        <v>0.69192856269804104</v>
      </c>
      <c r="O48">
        <f t="shared" si="2"/>
        <v>0.96996986490916703</v>
      </c>
    </row>
    <row r="49" spans="1:21">
      <c r="A49">
        <v>0.69519920373699295</v>
      </c>
      <c r="B49">
        <v>0.79648097750680202</v>
      </c>
      <c r="C49">
        <v>0.78925402792724497</v>
      </c>
      <c r="D49">
        <v>0.81764650279446405</v>
      </c>
      <c r="E49">
        <v>0.93888014356994198</v>
      </c>
      <c r="F49">
        <v>0.83671110556915995</v>
      </c>
      <c r="G49">
        <v>0.83544131826685297</v>
      </c>
      <c r="H49">
        <v>0.90549312388777603</v>
      </c>
      <c r="I49">
        <v>0.90054897337256001</v>
      </c>
      <c r="J49">
        <v>0.92883609941978695</v>
      </c>
      <c r="K49">
        <v>0.84516090700162405</v>
      </c>
      <c r="L49">
        <v>0.83092141151860899</v>
      </c>
      <c r="M49">
        <f t="shared" si="0"/>
        <v>0.84338114954765142</v>
      </c>
      <c r="N49">
        <f t="shared" si="1"/>
        <v>0.69519920373699295</v>
      </c>
      <c r="O49">
        <f t="shared" si="2"/>
        <v>0.93888014356994198</v>
      </c>
    </row>
    <row r="50" spans="1:21">
      <c r="A50">
        <v>0.73409315215883897</v>
      </c>
      <c r="B50">
        <v>0.88318295731663499</v>
      </c>
      <c r="C50">
        <v>0.77907249857342498</v>
      </c>
      <c r="D50">
        <v>0.88067054775503695</v>
      </c>
      <c r="E50">
        <v>0.91550753917917904</v>
      </c>
      <c r="F50">
        <v>0.91748227880361499</v>
      </c>
      <c r="G50">
        <v>0.83959336916421001</v>
      </c>
      <c r="H50">
        <v>0.89961239530833703</v>
      </c>
      <c r="I50">
        <v>0.91019456712471203</v>
      </c>
      <c r="J50">
        <v>0.74846802815650104</v>
      </c>
      <c r="K50">
        <v>0.79982934833292596</v>
      </c>
      <c r="L50">
        <v>0.86199822358743305</v>
      </c>
      <c r="M50">
        <f t="shared" si="0"/>
        <v>0.84747540878840422</v>
      </c>
      <c r="N50">
        <f t="shared" si="1"/>
        <v>0.73409315215883897</v>
      </c>
      <c r="O50">
        <f t="shared" si="2"/>
        <v>0.91748227880361499</v>
      </c>
    </row>
    <row r="51" spans="1:21">
      <c r="A51">
        <v>0.75455829218899495</v>
      </c>
      <c r="B51">
        <v>0.91127635626873404</v>
      </c>
      <c r="C51">
        <v>0.89350830976474804</v>
      </c>
      <c r="D51">
        <v>0.89377621125066797</v>
      </c>
      <c r="E51">
        <v>0.96769564794138496</v>
      </c>
      <c r="F51">
        <v>0.89320903817252095</v>
      </c>
      <c r="G51">
        <v>0.85873590534750299</v>
      </c>
      <c r="H51">
        <v>0.88523247446889197</v>
      </c>
      <c r="I51">
        <v>0.78803541396084698</v>
      </c>
      <c r="J51">
        <v>0.76505615094616897</v>
      </c>
      <c r="K51">
        <v>0.84953978553575604</v>
      </c>
      <c r="L51">
        <v>0.86734899049750402</v>
      </c>
      <c r="M51">
        <f t="shared" si="0"/>
        <v>0.86066438136197687</v>
      </c>
      <c r="N51">
        <f t="shared" si="1"/>
        <v>0.75455829218899495</v>
      </c>
      <c r="O51">
        <f t="shared" si="2"/>
        <v>0.96769564794138496</v>
      </c>
    </row>
    <row r="52" spans="1:21">
      <c r="M52">
        <f>AVERAGE(M2:M51)</f>
        <v>0.83060541688180922</v>
      </c>
      <c r="N52">
        <f>MIN(N2:N51)</f>
        <v>0.62802894365813799</v>
      </c>
      <c r="O52">
        <f>MAX(O2:O51)</f>
        <v>0.97092863483769198</v>
      </c>
    </row>
    <row r="53" spans="1:21">
      <c r="L53" t="s">
        <v>3</v>
      </c>
      <c r="M53" t="s">
        <v>4</v>
      </c>
    </row>
    <row r="54" spans="1:21">
      <c r="L54">
        <f>_xlfn.STDEV.P(A2:L51)</f>
        <v>7.403499992791579E-2</v>
      </c>
      <c r="M54">
        <f>L54/(COUNT(A2:L51)^0.5)</f>
        <v>3.0224662155063841E-3</v>
      </c>
      <c r="P54" s="2" t="s">
        <v>8</v>
      </c>
      <c r="Q54" s="2"/>
      <c r="R54" s="2"/>
      <c r="S54" s="2"/>
    </row>
    <row r="55" spans="1:21">
      <c r="P55" t="s">
        <v>0</v>
      </c>
      <c r="Q55" t="s">
        <v>7</v>
      </c>
      <c r="R55" t="s">
        <v>1</v>
      </c>
      <c r="S55" t="s">
        <v>2</v>
      </c>
    </row>
    <row r="56" spans="1:21">
      <c r="O56" t="s">
        <v>6</v>
      </c>
      <c r="P56">
        <v>0.83344089984316538</v>
      </c>
      <c r="Q56">
        <v>7.5764649850694629E-2</v>
      </c>
      <c r="R56">
        <v>0.62493720895326099</v>
      </c>
      <c r="S56">
        <v>0.97873377644097104</v>
      </c>
      <c r="T56">
        <f>S56-P56</f>
        <v>0.14529287659780565</v>
      </c>
      <c r="U56">
        <f>P56-R56</f>
        <v>0.20850369088990439</v>
      </c>
    </row>
    <row r="57" spans="1:21">
      <c r="O57" t="s">
        <v>5</v>
      </c>
      <c r="P57">
        <v>0.83060541688180922</v>
      </c>
      <c r="Q57">
        <v>7.403499992791579E-2</v>
      </c>
      <c r="R57">
        <v>0.62802894365813799</v>
      </c>
      <c r="S57">
        <v>0.97092863483769198</v>
      </c>
      <c r="T57">
        <f>S57-P57</f>
        <v>0.14032321795588276</v>
      </c>
      <c r="U57">
        <f>P57-R57</f>
        <v>0.20257647322367123</v>
      </c>
    </row>
    <row r="61" spans="1:21">
      <c r="L61" s="9"/>
      <c r="M61" s="6" t="s">
        <v>8</v>
      </c>
      <c r="N61" s="7"/>
      <c r="O61" s="8"/>
      <c r="P61" s="1"/>
    </row>
    <row r="62" spans="1:21" ht="21" thickBot="1">
      <c r="L62" s="10"/>
      <c r="M62" s="3" t="s">
        <v>0</v>
      </c>
      <c r="N62" s="16" t="s">
        <v>1</v>
      </c>
      <c r="O62" s="13" t="s">
        <v>2</v>
      </c>
    </row>
    <row r="63" spans="1:21" ht="21" thickTop="1">
      <c r="L63" s="11" t="s">
        <v>6</v>
      </c>
      <c r="M63" s="4">
        <v>0.83</v>
      </c>
      <c r="N63" s="17">
        <v>0.63</v>
      </c>
      <c r="O63" s="14">
        <v>0.98</v>
      </c>
    </row>
    <row r="64" spans="1:21">
      <c r="L64" s="12" t="s">
        <v>5</v>
      </c>
      <c r="M64" s="5">
        <v>0.83</v>
      </c>
      <c r="N64" s="18">
        <v>0.63</v>
      </c>
      <c r="O64" s="15">
        <v>0.97</v>
      </c>
    </row>
  </sheetData>
  <mergeCells count="3">
    <mergeCell ref="P54:S54"/>
    <mergeCell ref="M61:O61"/>
    <mergeCell ref="L61:L62"/>
  </mergeCells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ave_lx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ctwc0117</cp:lastModifiedBy>
  <dcterms:modified xsi:type="dcterms:W3CDTF">2019-09-05T11:47:33Z</dcterms:modified>
</cp:coreProperties>
</file>